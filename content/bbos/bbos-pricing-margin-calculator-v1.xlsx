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Inputs" sheetId="2" state="visible" r:id="rId2"/>
    <sheet name="Results" sheetId="3" state="visible" r:id="rId3"/>
    <sheet name="Example" sheetId="4" state="visible" r:id="rId4"/>
    <sheet name="Notes and Disclaim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C1C1C"/>
      <sz val="16"/>
    </font>
    <font>
      <name val="Calibri"/>
      <color rgb="001C1C1C"/>
      <sz val="11"/>
    </font>
    <font>
      <name val="Calibri"/>
      <b val="1"/>
      <color rgb="001A3C34"/>
      <sz val="10"/>
    </font>
    <font>
      <name val="Calibri"/>
      <i val="1"/>
      <color rgb="006B7280"/>
      <sz val="10"/>
    </font>
    <font>
      <name val="Calibri"/>
      <b val="1"/>
      <color rgb="001C1C1C"/>
      <sz val="11"/>
    </font>
    <font>
      <name val="Calibr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A3C34"/>
      </patternFill>
    </fill>
    <fill>
      <patternFill patternType="solid">
        <fgColor rgb="00F8F1D8"/>
      </patternFill>
    </fill>
    <fill>
      <patternFill patternType="solid">
        <fgColor rgb="00F5F1E6"/>
      </patternFill>
    </fill>
  </fills>
  <borders count="3">
    <border>
      <left/>
      <right/>
      <top/>
      <bottom/>
      <diagonal/>
    </border>
    <border>
      <left style="medium">
        <color rgb="00C9A84C"/>
      </left>
      <right style="medium">
        <color rgb="00C9A84C"/>
      </right>
      <top style="medium">
        <color rgb="00C9A84C"/>
      </top>
      <bottom style="medium">
        <color rgb="00C9A84C"/>
      </bottom>
    </border>
    <border>
      <left style="thin">
        <color rgb="00E5E3DC"/>
      </left>
      <right style="thin">
        <color rgb="00E5E3DC"/>
      </right>
      <top style="thin">
        <color rgb="00E5E3DC"/>
      </top>
      <bottom style="thin">
        <color rgb="00E5E3D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2" fillId="2" borderId="1" applyProtection="1" pivotButton="0" quotePrefix="0" xfId="0">
      <protection locked="0" hidden="0"/>
    </xf>
    <xf numFmtId="9" fontId="2" fillId="2" borderId="1" applyProtection="1" pivotButton="0" quotePrefix="0" xfId="0">
      <protection locked="0" hidden="0"/>
    </xf>
    <xf numFmtId="0" fontId="6" fillId="3" borderId="0" applyAlignment="1" pivotButton="0" quotePrefix="0" xfId="0">
      <alignment vertical="center" wrapText="1"/>
    </xf>
    <xf numFmtId="0" fontId="5" fillId="4" borderId="0" pivotButton="0" quotePrefix="0" xfId="0"/>
    <xf numFmtId="2" fontId="2" fillId="2" borderId="1" applyProtection="1" pivotButton="0" quotePrefix="0" xfId="0">
      <protection locked="0" hidden="0"/>
    </xf>
    <xf numFmtId="2" fontId="5" fillId="5" borderId="2" pivotButton="0" quotePrefix="0" xfId="0"/>
    <xf numFmtId="0" fontId="5" fillId="5" borderId="2" pivotButton="0" quotePrefix="0" xfId="0"/>
    <xf numFmtId="10" fontId="5" fillId="5" borderId="2" pivotButton="0" quotePrefix="0" xfId="0"/>
    <xf numFmtId="9" fontId="5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BBOS Pricing &amp; Margin Calculator — Version 1</t>
        </is>
      </c>
    </row>
    <row r="2">
      <c r="A2" s="2" t="inlineStr"/>
    </row>
    <row r="3">
      <c r="A3" s="3" t="inlineStr">
        <is>
          <t>Purpose</t>
        </is>
      </c>
    </row>
    <row r="4">
      <c r="A4" s="2" t="inlineStr">
        <is>
          <t>Turn a Cost Stack and Target Margin into a defensible price using the BBOS method:</t>
        </is>
      </c>
    </row>
    <row r="5">
      <c r="A5" s="2" t="inlineStr">
        <is>
          <t>Price = Cost Stack ÷ (1 − Target Margin)</t>
        </is>
      </c>
    </row>
    <row r="6">
      <c r="A6" s="2" t="inlineStr">
        <is>
          <t>Margin = (Price − Cost Stack) ÷ Price</t>
        </is>
      </c>
    </row>
    <row r="7">
      <c r="A7" s="2" t="inlineStr"/>
    </row>
    <row r="8">
      <c r="A8" s="3" t="inlineStr">
        <is>
          <t>How to use</t>
        </is>
      </c>
    </row>
    <row r="9">
      <c r="A9" s="2" t="inlineStr">
        <is>
          <t>1. Go to the Inputs sheet. Set your currency symbol first.</t>
        </is>
      </c>
    </row>
    <row r="10">
      <c r="A10" s="2" t="inlineStr">
        <is>
          <t>2. Enter Core (and optionally Entry / Premium) Cost Stack layers.</t>
        </is>
      </c>
    </row>
    <row r="11">
      <c r="A11" s="2" t="inlineStr">
        <is>
          <t>3. Enter Target Margin % and Margin Guardrail % (your choices — not universal).</t>
        </is>
      </c>
    </row>
    <row r="12">
      <c r="A12" s="2" t="inlineStr">
        <is>
          <t>4. Enter Optional item Cost Stacks if needed.</t>
        </is>
      </c>
    </row>
    <row r="13">
      <c r="A13" s="2" t="inlineStr">
        <is>
          <t>5. Read Results. Exact formula outputs appear first.</t>
        </is>
      </c>
    </row>
    <row r="14">
      <c r="A14" s="2" t="inlineStr">
        <is>
          <t>6. Optionally enter a practical quoted price (upward rounding only).</t>
        </is>
      </c>
    </row>
    <row r="15">
      <c r="A15" s="2" t="inlineStr">
        <is>
          <t>7. Open Example to see Maya's Property Services (illustrative USD).</t>
        </is>
      </c>
    </row>
    <row r="16">
      <c r="A16" s="2" t="inlineStr">
        <is>
          <t>8. Read Notes and Disclaimer before relying on any figure.</t>
        </is>
      </c>
    </row>
    <row r="17">
      <c r="A17" s="2" t="inlineStr"/>
    </row>
    <row r="18">
      <c r="A18" s="3" t="inlineStr">
        <is>
          <t>BBOS Pricing Principles</t>
        </is>
      </c>
    </row>
    <row r="19">
      <c r="A19" s="3" t="inlineStr">
        <is>
          <t>• Price from your costs, not your emotions.</t>
        </is>
      </c>
    </row>
    <row r="20">
      <c r="A20" s="3" t="inlineStr">
        <is>
          <t>• Protect your standards before protecting the sale.</t>
        </is>
      </c>
    </row>
    <row r="21">
      <c r="A21" s="3" t="inlineStr">
        <is>
          <t>• Margin is planned — not guessed.</t>
        </is>
      </c>
    </row>
    <row r="22">
      <c r="A22" s="3" t="inlineStr">
        <is>
          <t>• Discounts are intentional decisions, never automatic reactions.</t>
        </is>
      </c>
    </row>
    <row r="23">
      <c r="A23" s="3" t="inlineStr">
        <is>
          <t>• A sustainable business serves more people than an exhausted owner.</t>
        </is>
      </c>
    </row>
    <row r="24">
      <c r="A24" s="2" t="inlineStr"/>
    </row>
    <row r="25">
      <c r="A25" s="3" t="inlineStr">
        <is>
          <t>Frozen rules (do not change in V1)</t>
        </is>
      </c>
    </row>
    <row r="26">
      <c r="A26" s="3" t="inlineStr">
        <is>
          <t>• Margin only — never markup.</t>
        </is>
      </c>
    </row>
    <row r="27">
      <c r="A27" s="3" t="inlineStr">
        <is>
          <t>• Show exact results first; deliberate upward quote rounding allowed.</t>
        </is>
      </c>
    </row>
    <row r="28">
      <c r="A28" s="3" t="inlineStr">
        <is>
          <t>• Never round down through the Margin Guardrail.</t>
        </is>
      </c>
    </row>
    <row r="29">
      <c r="A29" s="3" t="inlineStr">
        <is>
          <t>• Optional items never auto-include into Core.</t>
        </is>
      </c>
    </row>
    <row r="30">
      <c r="A30" s="3" t="inlineStr">
        <is>
          <t>• Contingency is inside the Cost Stack; Target Margin is above it.</t>
        </is>
      </c>
    </row>
    <row r="31">
      <c r="A31" s="2" t="inlineStr"/>
    </row>
    <row r="32">
      <c r="A32" s="2" t="inlineStr">
        <is>
          <t>Supports: Module 3 — Pricing With Dignity</t>
        </is>
      </c>
    </row>
    <row r="33">
      <c r="A33" s="2" t="inlineStr">
        <is>
          <t>For planning only. Not tax, accounting, financial, or legal advice.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E8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55" customWidth="1" min="3" max="3"/>
    <col width="20" customWidth="1" min="4" max="4"/>
  </cols>
  <sheetData>
    <row r="1">
      <c r="A1" s="1" t="inlineStr">
        <is>
          <t>INPUTS — edit gold-bordered cells only</t>
        </is>
      </c>
    </row>
    <row r="2">
      <c r="A2" s="4" t="inlineStr">
        <is>
          <t>Illustrative defaults follow Maya (USD). Replace with your local inputs.</t>
        </is>
      </c>
    </row>
    <row r="4">
      <c r="A4" s="5" t="inlineStr">
        <is>
          <t>Currency symbol</t>
        </is>
      </c>
      <c r="B4" s="6" t="inlineStr">
        <is>
          <t>$</t>
        </is>
      </c>
      <c r="C4" s="4" t="inlineStr">
        <is>
          <t>Currency-neutral: change this symbol for your locale.</t>
        </is>
      </c>
    </row>
    <row r="6">
      <c r="A6" s="5" t="inlineStr">
        <is>
          <t>Target Margin</t>
        </is>
      </c>
      <c r="B6" s="7" t="n">
        <v>0.3</v>
      </c>
      <c r="C6" s="4" t="inlineStr">
        <is>
          <t>Planned margin for normal pricing. Your choice — not a universal recommendation.</t>
        </is>
      </c>
    </row>
    <row r="7">
      <c r="A7" s="5" t="inlineStr">
        <is>
          <t>Margin Guardrail</t>
        </is>
      </c>
      <c r="B7" s="7" t="n">
        <v>0.2</v>
      </c>
      <c r="C7" s="4" t="inlineStr">
        <is>
          <t>Lowest planned margin without Exception Approval.</t>
        </is>
      </c>
    </row>
    <row r="9">
      <c r="A9" s="5" t="inlineStr">
        <is>
          <t>Scenario A margin</t>
        </is>
      </c>
      <c r="B9" s="7" t="n">
        <v>0.25</v>
      </c>
    </row>
    <row r="10">
      <c r="A10" s="5" t="inlineStr">
        <is>
          <t>Scenario B margin</t>
        </is>
      </c>
      <c r="B10" s="7" t="n">
        <v>0.3</v>
      </c>
    </row>
    <row r="11">
      <c r="A11" s="5" t="inlineStr">
        <is>
          <t>Scenario C margin</t>
        </is>
      </c>
      <c r="B11" s="7" t="n">
        <v>0.35</v>
      </c>
    </row>
    <row r="13">
      <c r="A13" s="8" t="inlineStr">
        <is>
          <t>CORE COST STACK</t>
        </is>
      </c>
      <c r="B13" s="8" t="n"/>
      <c r="C13" s="8" t="n"/>
    </row>
    <row r="14">
      <c r="A14" s="9" t="inlineStr">
        <is>
          <t>Layer</t>
        </is>
      </c>
      <c r="B14" s="9" t="inlineStr">
        <is>
          <t>Amount</t>
        </is>
      </c>
      <c r="C14" s="9" t="inlineStr">
        <is>
          <t>Notes</t>
        </is>
      </c>
    </row>
    <row r="15">
      <c r="A15" s="5" t="inlineStr">
        <is>
          <t>Direct costs</t>
        </is>
      </c>
      <c r="B15" s="10" t="n">
        <v>20</v>
      </c>
      <c r="C15" s="4" t="inlineStr">
        <is>
          <t>Supplies + standard property linen processing</t>
        </is>
      </c>
    </row>
    <row r="16">
      <c r="A16" s="5" t="inlineStr">
        <is>
          <t>Labor hours</t>
        </is>
      </c>
      <c r="B16" s="10" t="n">
        <v>3</v>
      </c>
      <c r="C16" s="4" t="inlineStr">
        <is>
          <t>Hours to deliver (include your time)</t>
        </is>
      </c>
    </row>
    <row r="17">
      <c r="A17" s="5" t="inlineStr">
        <is>
          <t>Labor cost per hour</t>
        </is>
      </c>
      <c r="B17" s="10" t="n">
        <v>20</v>
      </c>
      <c r="C17" s="4" t="inlineStr">
        <is>
          <t>What the hour is worth to the business</t>
        </is>
      </c>
    </row>
    <row r="18">
      <c r="A18" s="5" t="inlineStr">
        <is>
          <t>Overhead allocation</t>
        </is>
      </c>
      <c r="B18" s="10" t="n">
        <v>15</v>
      </c>
      <c r="C18" s="4" t="inlineStr">
        <is>
          <t>Simple per-job share</t>
        </is>
      </c>
    </row>
    <row r="19">
      <c r="A19" s="5" t="inlineStr">
        <is>
          <t>Contingency</t>
        </is>
      </c>
      <c r="B19" s="10" t="n">
        <v>10</v>
      </c>
      <c r="C19" s="4" t="inlineStr">
        <is>
          <t>Inside Cost Stack — not the same as Target Margin</t>
        </is>
      </c>
    </row>
    <row r="20">
      <c r="A20" s="5" t="inlineStr">
        <is>
          <t>Labor subtotal (calculated)</t>
        </is>
      </c>
      <c r="B20" s="11">
        <f>B16*B17</f>
        <v/>
      </c>
    </row>
    <row r="21">
      <c r="A21" s="5" t="inlineStr">
        <is>
          <t>CORE Cost Stack (calculated)</t>
        </is>
      </c>
      <c r="B21" s="11">
        <f>B15+B20+B18+B19</f>
        <v/>
      </c>
    </row>
    <row r="23">
      <c r="A23" s="8" t="inlineStr">
        <is>
          <t>ENTRY COST STACK</t>
        </is>
      </c>
      <c r="B23" s="8" t="n"/>
      <c r="C23" s="8" t="n"/>
    </row>
    <row r="24">
      <c r="A24" s="5" t="inlineStr">
        <is>
          <t>Direct costs</t>
        </is>
      </c>
      <c r="B24" s="10" t="n">
        <v>12</v>
      </c>
    </row>
    <row r="25">
      <c r="A25" s="5" t="inlineStr">
        <is>
          <t>Labor hours</t>
        </is>
      </c>
      <c r="B25" s="10" t="n">
        <v>2</v>
      </c>
    </row>
    <row r="26">
      <c r="A26" s="5" t="inlineStr">
        <is>
          <t>Labor cost per hour</t>
        </is>
      </c>
      <c r="B26" s="10" t="n">
        <v>20</v>
      </c>
    </row>
    <row r="27">
      <c r="A27" s="5" t="inlineStr">
        <is>
          <t>Overhead allocation</t>
        </is>
      </c>
      <c r="B27" s="10" t="n">
        <v>10</v>
      </c>
    </row>
    <row r="28">
      <c r="A28" s="5" t="inlineStr">
        <is>
          <t>Contingency</t>
        </is>
      </c>
      <c r="B28" s="10" t="n">
        <v>8</v>
      </c>
    </row>
    <row r="29">
      <c r="A29" s="5" t="inlineStr">
        <is>
          <t>Labor subtotal</t>
        </is>
      </c>
      <c r="B29" s="11">
        <f>B25*B26</f>
        <v/>
      </c>
    </row>
    <row r="30">
      <c r="A30" s="5" t="inlineStr">
        <is>
          <t>ENTRY Cost Stack</t>
        </is>
      </c>
      <c r="B30" s="11">
        <f>B24+B29+B27+B28</f>
        <v/>
      </c>
    </row>
    <row r="32">
      <c r="A32" s="8" t="inlineStr">
        <is>
          <t>PREMIUM COST STACK</t>
        </is>
      </c>
      <c r="B32" s="8" t="n"/>
      <c r="C32" s="8" t="n"/>
    </row>
    <row r="33">
      <c r="A33" s="5" t="inlineStr">
        <is>
          <t>Direct costs</t>
        </is>
      </c>
      <c r="B33" s="10" t="n">
        <v>28</v>
      </c>
    </row>
    <row r="34">
      <c r="A34" s="5" t="inlineStr">
        <is>
          <t>Labor hours</t>
        </is>
      </c>
      <c r="B34" s="10" t="n">
        <v>6</v>
      </c>
    </row>
    <row r="35">
      <c r="A35" s="5" t="inlineStr">
        <is>
          <t>Labor cost per hour</t>
        </is>
      </c>
      <c r="B35" s="10" t="n">
        <v>20</v>
      </c>
    </row>
    <row r="36">
      <c r="A36" s="5" t="inlineStr">
        <is>
          <t>Overhead allocation</t>
        </is>
      </c>
      <c r="B36" s="10" t="n">
        <v>20</v>
      </c>
    </row>
    <row r="37">
      <c r="A37" s="5" t="inlineStr">
        <is>
          <t>Contingency</t>
        </is>
      </c>
      <c r="B37" s="10" t="n">
        <v>7</v>
      </c>
    </row>
    <row r="38">
      <c r="A38" s="5" t="inlineStr">
        <is>
          <t>Labor subtotal</t>
        </is>
      </c>
      <c r="B38" s="11">
        <f>B34*B35</f>
        <v/>
      </c>
    </row>
    <row r="39">
      <c r="A39" s="5" t="inlineStr">
        <is>
          <t>PREMIUM Cost Stack</t>
        </is>
      </c>
      <c r="B39" s="11">
        <f>B33+B38+B36+B37</f>
        <v/>
      </c>
    </row>
    <row r="41">
      <c r="A41" s="8" t="inlineStr">
        <is>
          <t>OPTIONAL ITEMS (each priced separately)</t>
        </is>
      </c>
      <c r="B41" s="8" t="n"/>
      <c r="C41" s="8" t="n"/>
      <c r="D41" s="8" t="n"/>
    </row>
    <row r="42">
      <c r="A42" s="9" t="inlineStr">
        <is>
          <t>Optional item name</t>
        </is>
      </c>
      <c r="B42" s="9" t="inlineStr">
        <is>
          <t>Cost Stack</t>
        </is>
      </c>
      <c r="C42" s="9" t="inlineStr">
        <is>
          <t>Notes</t>
        </is>
      </c>
    </row>
    <row r="43">
      <c r="A43" s="6" t="inlineStr">
        <is>
          <t>Inside-oven / fridge deep clean</t>
        </is>
      </c>
      <c r="B43" s="10" t="n">
        <v>21</v>
      </c>
      <c r="C43" s="4" t="inlineStr">
        <is>
          <t>Labor-heavy add-on</t>
        </is>
      </c>
    </row>
    <row r="44">
      <c r="A44" s="6" t="inlineStr">
        <is>
          <t>Additional guest/owner laundry</t>
        </is>
      </c>
      <c r="B44" s="10" t="n">
        <v>14</v>
      </c>
      <c r="C44" s="4" t="inlineStr">
        <is>
          <t>Outside normal turnover linen processing</t>
        </is>
      </c>
    </row>
    <row r="45">
      <c r="A45" s="6" t="inlineStr">
        <is>
          <t>Consumables restock</t>
        </is>
      </c>
      <c r="B45" s="10" t="n">
        <v>7</v>
      </c>
      <c r="C45" s="4" t="inlineStr"/>
    </row>
    <row r="46">
      <c r="A46" s="6" t="inlineStr"/>
      <c r="B46" s="10" t="n"/>
      <c r="C46" s="4" t="inlineStr">
        <is>
          <t>Add more rows as needed</t>
        </is>
      </c>
    </row>
    <row r="47">
      <c r="A47" s="6" t="inlineStr"/>
      <c r="B47" s="10" t="n"/>
      <c r="C47" s="4" t="inlineStr"/>
    </row>
    <row r="49">
      <c r="A49" s="8" t="inlineStr">
        <is>
          <t>PRACTICAL QUOTED PRICE (optional upward round)</t>
        </is>
      </c>
      <c r="B49" s="8" t="n"/>
      <c r="C49" s="8" t="n"/>
    </row>
    <row r="50">
      <c r="A50" s="5" t="inlineStr">
        <is>
          <t>Practical Core quote (optional)</t>
        </is>
      </c>
      <c r="B50" s="10" t="n"/>
      <c r="C50" s="4" t="inlineStr">
        <is>
          <t>Leave blank to use exact Core price. If filled, must be &gt;= exact Guardrail floor.</t>
        </is>
      </c>
    </row>
    <row r="51">
      <c r="A51" s="5" t="inlineStr">
        <is>
          <t>Exception flag (Yes/No)</t>
        </is>
      </c>
      <c r="B51" s="6" t="inlineStr">
        <is>
          <t>No</t>
        </is>
      </c>
      <c r="C51" s="4" t="inlineStr">
        <is>
          <t>Set Yes only with documented Exception Approval if quoting below Guardrail.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E8"/>
  <mergeCells count="1">
    <mergeCell ref="A1:E1"/>
  </mergeCells>
  <dataValidations count="1">
    <dataValidation sqref="B5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8" customWidth="1" min="3" max="3"/>
    <col width="40" customWidth="1" min="4" max="4"/>
  </cols>
  <sheetData>
    <row r="1">
      <c r="A1" s="1" t="inlineStr">
        <is>
          <t>RESULTS — calculated (do not edit)</t>
        </is>
      </c>
    </row>
    <row r="2">
      <c r="A2" s="4" t="inlineStr">
        <is>
          <t>All exact prices use: Cost ÷ (1 − margin). Status never relies on color alone.</t>
        </is>
      </c>
    </row>
    <row r="4">
      <c r="A4" s="8" t="inlineStr">
        <is>
          <t>CORE</t>
        </is>
      </c>
      <c r="B4" s="8" t="n"/>
      <c r="C4" s="8" t="n"/>
    </row>
    <row r="5">
      <c r="A5" s="5" t="inlineStr">
        <is>
          <t>Currency</t>
        </is>
      </c>
      <c r="B5" s="12">
        <f>Inputs!B4</f>
        <v/>
      </c>
    </row>
    <row r="6">
      <c r="A6" s="5" t="inlineStr">
        <is>
          <t>Core Cost Stack</t>
        </is>
      </c>
      <c r="B6" s="11">
        <f>Inputs!B21</f>
        <v/>
      </c>
    </row>
    <row r="7">
      <c r="A7" s="5" t="inlineStr">
        <is>
          <t>Target Margin</t>
        </is>
      </c>
      <c r="B7" s="13">
        <f>Inputs!B6</f>
        <v/>
      </c>
    </row>
    <row r="8">
      <c r="A8" s="5" t="inlineStr">
        <is>
          <t>Margin Guardrail</t>
        </is>
      </c>
      <c r="B8" s="13">
        <f>Inputs!B7</f>
        <v/>
      </c>
    </row>
    <row r="9">
      <c r="A9" s="5" t="inlineStr">
        <is>
          <t>Exact Core price (Target)</t>
        </is>
      </c>
      <c r="B9" s="11">
        <f>IF(Inputs!B6&gt;=1,"—",Inputs!B21/(1-Inputs!B6))</f>
        <v/>
      </c>
    </row>
    <row r="10">
      <c r="A10" s="5" t="inlineStr">
        <is>
          <t>Verified margin at exact price</t>
        </is>
      </c>
      <c r="B10" s="13">
        <f>IF(OR(B9="—",NOT(ISNUMBER(B9))),"—",(B9-B6)/B9)</f>
        <v/>
      </c>
    </row>
    <row r="11">
      <c r="A11" s="5" t="inlineStr">
        <is>
          <t>Exact Guardrail floor</t>
        </is>
      </c>
      <c r="B11" s="11">
        <f>IF(Inputs!B7&gt;=1,"—",Inputs!B21/(1-Inputs!B7))</f>
        <v/>
      </c>
    </row>
    <row r="12">
      <c r="A12" s="5" t="inlineStr">
        <is>
          <t>Practical Core quote (from Inputs)</t>
        </is>
      </c>
      <c r="B12" s="11">
        <f>IF(Inputs!B50="",B9,Inputs!B50)</f>
        <v/>
      </c>
    </row>
    <row r="13">
      <c r="A13" s="5" t="inlineStr">
        <is>
          <t>Verified margin at practical quote</t>
        </is>
      </c>
      <c r="B13" s="13">
        <f>IF(OR(B12="",B12="—",NOT(ISNUMBER(B12))),"—",(B12-B6)/B12)</f>
        <v/>
      </c>
    </row>
    <row r="14">
      <c r="A14" s="5" t="inlineStr">
        <is>
          <t>Status</t>
        </is>
      </c>
      <c r="B14" s="12">
        <f>IF(OR(NOT(ISNUMBER(B6)),NOT(ISNUMBER(B7)),B7&gt;=1,B8&gt;=1),"Check inputs",IF(AND(ISNUMBER(Inputs!B50),Inputs!B50&lt;B11,Inputs!B51&lt;&gt;"Yes"),"Below guardrail",IF(ABS(IF(ISNUMBER(B13),B13,B10)-B7)&lt;=0.005,"At target",IF(IF(ISNUMBER(B13),B13,B10)&lt;B8,"Below guardrail",IF(IF(ISNUMBER(B13),B13,B10)&lt;B7,"Between guardrail and target","At or above target")))))</f>
        <v/>
      </c>
    </row>
    <row r="15">
      <c r="A15" s="4" t="inlineStr">
        <is>
          <t>Rounding rule: exact results first. You may round a quote UP. Never round down through the Guardrail.</t>
        </is>
      </c>
    </row>
    <row r="17">
      <c r="A17" s="8" t="inlineStr">
        <is>
          <t>SCENARIO COMPARISON (Core Cost Stack)</t>
        </is>
      </c>
      <c r="B17" s="8" t="n"/>
      <c r="C17" s="8" t="n"/>
      <c r="D17" s="8" t="n"/>
    </row>
    <row r="18">
      <c r="A18" s="9" t="inlineStr">
        <is>
          <t>Scenario</t>
        </is>
      </c>
      <c r="B18" s="9" t="inlineStr">
        <is>
          <t>Margin</t>
        </is>
      </c>
      <c r="C18" s="9" t="inlineStr">
        <is>
          <t>Exact price</t>
        </is>
      </c>
      <c r="D18" s="9" t="inlineStr">
        <is>
          <t>Notes</t>
        </is>
      </c>
    </row>
    <row r="19">
      <c r="A19" s="5" t="inlineStr">
        <is>
          <t>A</t>
        </is>
      </c>
      <c r="B19" s="14">
        <f>Inputs!B9</f>
        <v/>
      </c>
      <c r="C19" s="11">
        <f>IF(B19&gt;=1,"—",Inputs!B21/(1-B19))</f>
        <v/>
      </c>
      <c r="D19" s="4" t="inlineStr">
        <is>
          <t>Tighter than target (example)</t>
        </is>
      </c>
    </row>
    <row r="20">
      <c r="A20" s="5" t="inlineStr">
        <is>
          <t>B</t>
        </is>
      </c>
      <c r="B20" s="14">
        <f>Inputs!B10</f>
        <v/>
      </c>
      <c r="C20" s="11">
        <f>IF(B20&gt;=1,"—",Inputs!B21/(1-B20))</f>
        <v/>
      </c>
      <c r="D20" s="4" t="inlineStr">
        <is>
          <t>Usually matches Target Margin</t>
        </is>
      </c>
    </row>
    <row r="21">
      <c r="A21" s="5" t="inlineStr">
        <is>
          <t>C</t>
        </is>
      </c>
      <c r="B21" s="14">
        <f>Inputs!B11</f>
        <v/>
      </c>
      <c r="C21" s="11">
        <f>IF(B21&gt;=1,"—",Inputs!B21/(1-B21))</f>
        <v/>
      </c>
      <c r="D21" s="4" t="inlineStr">
        <is>
          <t>Maya example: exact $161.54; intentional quote $162</t>
        </is>
      </c>
    </row>
    <row r="23">
      <c r="A23" s="8" t="inlineStr">
        <is>
          <t>OFFER LADDER PRICES (at Target Margin)</t>
        </is>
      </c>
      <c r="B23" s="8" t="n"/>
      <c r="C23" s="8" t="n"/>
      <c r="D23" s="8" t="n"/>
    </row>
    <row r="24">
      <c r="A24" s="9" t="inlineStr">
        <is>
          <t>Rung</t>
        </is>
      </c>
      <c r="B24" s="9" t="inlineStr">
        <is>
          <t>Cost Stack</t>
        </is>
      </c>
      <c r="C24" s="9" t="inlineStr">
        <is>
          <t>Exact price</t>
        </is>
      </c>
      <c r="D24" s="9" t="inlineStr">
        <is>
          <t>Verified margin</t>
        </is>
      </c>
    </row>
    <row r="25">
      <c r="A25" s="5" t="inlineStr">
        <is>
          <t>Entry</t>
        </is>
      </c>
      <c r="B25" s="11">
        <f>Inputs!B30</f>
        <v/>
      </c>
      <c r="C25" s="11">
        <f>IF(Inputs!B6&gt;=1,"—",B25/(1-Inputs!B6))</f>
        <v/>
      </c>
      <c r="D25" s="13">
        <f>IF(C25="—","—",(C25-B25)/C25)</f>
        <v/>
      </c>
    </row>
    <row r="26">
      <c r="A26" s="5" t="inlineStr">
        <is>
          <t>Core</t>
        </is>
      </c>
      <c r="B26" s="11">
        <f>Inputs!B21</f>
        <v/>
      </c>
      <c r="C26" s="11">
        <f>B9</f>
        <v/>
      </c>
      <c r="D26" s="13">
        <f>B10</f>
        <v/>
      </c>
    </row>
    <row r="27">
      <c r="A27" s="5" t="inlineStr">
        <is>
          <t>Premium</t>
        </is>
      </c>
      <c r="B27" s="11">
        <f>Inputs!B39</f>
        <v/>
      </c>
      <c r="C27" s="11">
        <f>IF(Inputs!B6&gt;=1,"—",B27/(1-Inputs!B6))</f>
        <v/>
      </c>
      <c r="D27" s="13">
        <f>IF(C27="—","—",(C27-B27)/C27)</f>
        <v/>
      </c>
    </row>
    <row r="29">
      <c r="A29" s="8" t="inlineStr">
        <is>
          <t>OPTIONAL ITEM PRICES (at Target Margin)</t>
        </is>
      </c>
      <c r="B29" s="8" t="n"/>
      <c r="C29" s="8" t="n"/>
      <c r="D29" s="8" t="n"/>
    </row>
    <row r="30">
      <c r="A30" s="9" t="inlineStr">
        <is>
          <t>Optional item</t>
        </is>
      </c>
      <c r="B30" s="9" t="inlineStr">
        <is>
          <t>Cost Stack</t>
        </is>
      </c>
      <c r="C30" s="9" t="inlineStr">
        <is>
          <t>Exact price</t>
        </is>
      </c>
      <c r="D30" s="9" t="inlineStr">
        <is>
          <t>Verified margin</t>
        </is>
      </c>
    </row>
    <row r="31">
      <c r="A31" s="12">
        <f>Inputs!A43</f>
        <v/>
      </c>
      <c r="B31" s="11">
        <f>IF(Inputs!B43="","" ,Inputs!B43)</f>
        <v/>
      </c>
      <c r="C31" s="11">
        <f>IF(OR(B31="",Inputs!B6&gt;=1),"",B31/(1-Inputs!B6))</f>
        <v/>
      </c>
      <c r="D31" s="13">
        <f>IF(OR(C31="",C31=0),"",(C31-B31)/C31)</f>
        <v/>
      </c>
    </row>
    <row r="32">
      <c r="A32" s="12">
        <f>Inputs!A44</f>
        <v/>
      </c>
      <c r="B32" s="11">
        <f>IF(Inputs!B44="","" ,Inputs!B44)</f>
        <v/>
      </c>
      <c r="C32" s="11">
        <f>IF(OR(B32="",Inputs!B6&gt;=1),"",B32/(1-Inputs!B6))</f>
        <v/>
      </c>
      <c r="D32" s="13">
        <f>IF(OR(C32="",C32=0),"",(C32-B32)/C32)</f>
        <v/>
      </c>
    </row>
    <row r="33">
      <c r="A33" s="12">
        <f>Inputs!A45</f>
        <v/>
      </c>
      <c r="B33" s="11">
        <f>IF(Inputs!B45="","" ,Inputs!B45)</f>
        <v/>
      </c>
      <c r="C33" s="11">
        <f>IF(OR(B33="",Inputs!B6&gt;=1),"",B33/(1-Inputs!B6))</f>
        <v/>
      </c>
      <c r="D33" s="13">
        <f>IF(OR(C33="",C33=0),"",(C33-B33)/C33)</f>
        <v/>
      </c>
    </row>
    <row r="34">
      <c r="A34" s="12">
        <f>Inputs!A46</f>
        <v/>
      </c>
      <c r="B34" s="11">
        <f>IF(Inputs!B46="","" ,Inputs!B46)</f>
        <v/>
      </c>
      <c r="C34" s="11">
        <f>IF(OR(B34="",Inputs!B6&gt;=1),"",B34/(1-Inputs!B6))</f>
        <v/>
      </c>
      <c r="D34" s="13">
        <f>IF(OR(C34="",C34=0),"",(C34-B34)/C34)</f>
        <v/>
      </c>
    </row>
    <row r="35">
      <c r="A35" s="12">
        <f>Inputs!A47</f>
        <v/>
      </c>
      <c r="B35" s="11">
        <f>IF(Inputs!B47="","" ,Inputs!B47)</f>
        <v/>
      </c>
      <c r="C35" s="11">
        <f>IF(OR(B35="",Inputs!B6&gt;=1),"",B35/(1-Inputs!B6))</f>
        <v/>
      </c>
      <c r="D35" s="13">
        <f>IF(OR(C35="",C35=0),"",(C35-B35)/C35)</f>
        <v/>
      </c>
    </row>
    <row r="37">
      <c r="A37" s="4" t="inlineStr">
        <is>
          <t>Optional items never auto-include into Core. Price each separately. Not Included work stays out of the Cost Stack.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E8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EXAMPLE — Maya's Property Services (illustrative USD)</t>
        </is>
      </c>
    </row>
    <row r="2">
      <c r="A2" s="4" t="inlineStr">
        <is>
          <t>Illustrative example in USD. Replace the currency symbol and figures with your own local inputs. Figures are fictional — not recommended rates. Matches Module 3 Main Guide exactly.</t>
        </is>
      </c>
    </row>
    <row r="3">
      <c r="A3" s="2" t="inlineStr"/>
    </row>
    <row r="4">
      <c r="A4" s="3" t="inlineStr">
        <is>
          <t>CORE COST STACK</t>
        </is>
      </c>
    </row>
    <row r="5">
      <c r="A5" s="2" t="inlineStr">
        <is>
          <t>Direct costs | $20 | Supplies + standard property linen processing</t>
        </is>
      </c>
    </row>
    <row r="6">
      <c r="A6" s="2" t="inlineStr">
        <is>
          <t>Labor | 3 hours × $20/hour = $60 | Owner time counts</t>
        </is>
      </c>
    </row>
    <row r="7">
      <c r="A7" s="2" t="inlineStr">
        <is>
          <t>Overhead allocation | $15 | Simple per-job share</t>
        </is>
      </c>
    </row>
    <row r="8">
      <c r="A8" s="2" t="inlineStr">
        <is>
          <t>Contingency | $10 | Inside Cost Stack</t>
        </is>
      </c>
    </row>
    <row r="9">
      <c r="A9" s="2" t="inlineStr">
        <is>
          <t>CORE Cost Stack | $105</t>
        </is>
      </c>
    </row>
    <row r="10">
      <c r="A10" s="2" t="inlineStr"/>
    </row>
    <row r="11">
      <c r="A11" s="3" t="inlineStr">
        <is>
          <t>MARGINS</t>
        </is>
      </c>
    </row>
    <row r="12">
      <c r="A12" s="2" t="inlineStr">
        <is>
          <t>Target Margin | 30%</t>
        </is>
      </c>
    </row>
    <row r="13">
      <c r="A13" s="2" t="inlineStr">
        <is>
          <t>Margin Guardrail | 20%</t>
        </is>
      </c>
    </row>
    <row r="14">
      <c r="A14" s="2" t="inlineStr"/>
    </row>
    <row r="15">
      <c r="A15" s="3" t="inlineStr">
        <is>
          <t>CORE PRICE</t>
        </is>
      </c>
    </row>
    <row r="16">
      <c r="A16" s="2" t="inlineStr">
        <is>
          <t>Exact Core price | $105 ÷ (1 − 0.30) = $150.00</t>
        </is>
      </c>
    </row>
    <row r="17">
      <c r="A17" s="2" t="inlineStr">
        <is>
          <t>Verified margin | ($150 − $105) ÷ $150 = 30%</t>
        </is>
      </c>
    </row>
    <row r="18">
      <c r="A18" s="2" t="inlineStr">
        <is>
          <t>Exact Guardrail floor | $105 ÷ (1 − 0.20) = $131.25</t>
        </is>
      </c>
    </row>
    <row r="19">
      <c r="A19" s="2" t="inlineStr">
        <is>
          <t>Practical minimum quote | $132 (rounded upward so she does not move below the Guardrail)</t>
        </is>
      </c>
    </row>
    <row r="20">
      <c r="A20" s="2" t="inlineStr"/>
    </row>
    <row r="21">
      <c r="A21" s="3" t="inlineStr">
        <is>
          <t>SCENARIOS (Cost Stack $105)</t>
        </is>
      </c>
    </row>
    <row r="22">
      <c r="A22" s="2" t="inlineStr">
        <is>
          <t>A | 25% | Exact $140.00</t>
        </is>
      </c>
    </row>
    <row r="23">
      <c r="A23" s="2" t="inlineStr">
        <is>
          <t>B | 30% | Exact $150.00 (chosen)</t>
        </is>
      </c>
    </row>
    <row r="24">
      <c r="A24" s="2" t="inlineStr">
        <is>
          <t>C | 35% | Exact $161.54 → intentional quote $162 (upward round; post-round margin ≈ 35.2%)</t>
        </is>
      </c>
    </row>
    <row r="25">
      <c r="A25" s="2" t="inlineStr"/>
    </row>
    <row r="26">
      <c r="A26" s="3" t="inlineStr">
        <is>
          <t>OFFER LADDER (Target Margin 30%)</t>
        </is>
      </c>
    </row>
    <row r="27">
      <c r="A27" s="2" t="inlineStr">
        <is>
          <t>Entry Cost Stack $70 → Exact price $100</t>
        </is>
      </c>
    </row>
    <row r="28">
      <c r="A28" s="2" t="inlineStr">
        <is>
          <t>Core Cost Stack $105 → Exact price $150</t>
        </is>
      </c>
    </row>
    <row r="29">
      <c r="A29" s="2" t="inlineStr">
        <is>
          <t>Premium Cost Stack $175 → Exact price $250</t>
        </is>
      </c>
    </row>
    <row r="30">
      <c r="A30" s="2" t="inlineStr"/>
    </row>
    <row r="31">
      <c r="A31" s="3" t="inlineStr">
        <is>
          <t>OPTIONALS (Target Margin 30%)</t>
        </is>
      </c>
    </row>
    <row r="32">
      <c r="A32" s="2" t="inlineStr">
        <is>
          <t>Oven/fridge Cost Stack $21 → $30</t>
        </is>
      </c>
    </row>
    <row r="33">
      <c r="A33" s="2" t="inlineStr">
        <is>
          <t>Additional guest/owner laundry Cost Stack $14 → $20</t>
        </is>
      </c>
    </row>
    <row r="34">
      <c r="A34" s="2" t="inlineStr">
        <is>
          <t>Consumables restock Cost Stack $7 → $10</t>
        </is>
      </c>
    </row>
    <row r="35">
      <c r="A35" s="2" t="inlineStr"/>
    </row>
    <row r="36">
      <c r="A36" s="3" t="inlineStr">
        <is>
          <t>DISCOUNT / EXCEPTION (process illustration only)</t>
        </is>
      </c>
    </row>
    <row r="37">
      <c r="A37" s="2" t="inlineStr">
        <is>
          <t>Ask $120 → below exact Guardrail floor $131.25 → decline</t>
        </is>
      </c>
    </row>
    <row r="38">
      <c r="A38" s="2" t="inlineStr">
        <is>
          <t>Bounded exception $140 for first 4 Core turnovers (margin 25%) with end date, then return to $150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E8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NOTES / DISCLAIMER</t>
        </is>
      </c>
    </row>
    <row r="2">
      <c r="A2" s="2" t="inlineStr"/>
    </row>
    <row r="3">
      <c r="A3" s="2" t="inlineStr">
        <is>
          <t>For planning only. Not tax, accounting, financial, investment, or legal advice.</t>
        </is>
      </c>
    </row>
    <row r="4">
      <c r="A4" s="2" t="inlineStr">
        <is>
          <t>BBOS does not guarantee profit, revenue, or any specific business result.</t>
        </is>
      </c>
    </row>
    <row r="5">
      <c r="A5" s="2" t="inlineStr"/>
    </row>
    <row r="6">
      <c r="A6" s="2" t="inlineStr">
        <is>
          <t>Margin is not markup.</t>
        </is>
      </c>
    </row>
    <row r="7">
      <c r="A7" s="2" t="inlineStr">
        <is>
          <t>Margin = (Price − Cost) ÷ Price</t>
        </is>
      </c>
    </row>
    <row r="8">
      <c r="A8" s="2" t="inlineStr">
        <is>
          <t>Markup = (Price − Cost) ÷ Cost</t>
        </is>
      </c>
    </row>
    <row r="9">
      <c r="A9" s="2" t="inlineStr">
        <is>
          <t>This calculator uses margin only.</t>
        </is>
      </c>
    </row>
    <row r="10">
      <c r="A10" s="2" t="inlineStr"/>
    </row>
    <row r="11">
      <c r="A11" s="2" t="inlineStr">
        <is>
          <t>Contingency protects the job from unexpected costs.</t>
        </is>
      </c>
    </row>
    <row r="12">
      <c r="A12" s="2" t="inlineStr">
        <is>
          <t>Target Margin rewards the business after all planned costs have been covered.</t>
        </is>
      </c>
    </row>
    <row r="13">
      <c r="A13" s="2" t="inlineStr"/>
    </row>
    <row r="14">
      <c r="A14" s="2" t="inlineStr">
        <is>
          <t>No client data, real Bornfidis pricing, VelocityMaid data, or private credentials belong in this file.</t>
        </is>
      </c>
    </row>
    <row r="15">
      <c r="A15" s="2" t="inlineStr">
        <is>
          <t>Maya's Property Services figures are fictional and illustrative.</t>
        </is>
      </c>
    </row>
    <row r="16">
      <c r="A16" s="2" t="inlineStr"/>
    </row>
    <row r="17">
      <c r="A17" s="2" t="inlineStr">
        <is>
          <t>Competitor prices are not your Cost Stack. Use this calculator first;</t>
        </is>
      </c>
    </row>
    <row r="18">
      <c r="A18" s="2" t="inlineStr">
        <is>
          <t>competitor awareness is a final reality check only.</t>
        </is>
      </c>
    </row>
    <row r="19">
      <c r="A19" s="2" t="inlineStr"/>
    </row>
    <row r="20">
      <c r="A20" s="2" t="inlineStr">
        <is>
          <t>Supports Module 3 — Pricing With Dignity | BBOS Version 1</t>
        </is>
      </c>
    </row>
    <row r="21">
      <c r="A21" s="2" t="inlineStr">
        <is>
          <t>The Main Guide defines this spreadsheet. The spreadsheet must not invent pricing behavior.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2026-08-02T03:13:56Z</dcterms:created>
  <dcterms:modified xsi:type="dcterms:W3CDTF">2026-08-02T03:13:56Z</dcterms:modified>
</cp:coreProperties>
</file>